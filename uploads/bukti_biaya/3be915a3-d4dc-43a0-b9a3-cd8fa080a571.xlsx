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/>
  <mc:AlternateContent xmlns:mc="http://schemas.openxmlformats.org/markup-compatibility/2006">
    <mc:Choice Requires="x15">
      <x15ac:absPath xmlns:x15ac="http://schemas.microsoft.com/office/spreadsheetml/2010/11/ac" url="https://d.docs.live.net/7ca1d9b7bb8bd777/work/sr/work/Labkom/2024/"/>
    </mc:Choice>
  </mc:AlternateContent>
  <xr:revisionPtr revIDLastSave="0" documentId="8_{EE80C0E4-A857-4501-A079-BE6DC88D56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bkom" sheetId="1" r:id="rId1"/>
    <sheet name="Zoom" sheetId="7" r:id="rId2"/>
    <sheet name="Perbaikan Komputer" sheetId="2" r:id="rId3"/>
    <sheet name="Upgrade Infr. Jaringan" sheetId="3" r:id="rId4"/>
    <sheet name="Penambahan Infr. Jaringan" sheetId="4" r:id="rId5"/>
    <sheet name="Perawatan Infr. Jaringan" sheetId="5" r:id="rId6"/>
    <sheet name="Fasilitas Sistem Informasi" sheetId="6" r:id="rId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E12" i="6"/>
  <c r="E6" i="6"/>
  <c r="E5" i="6"/>
  <c r="E4" i="6"/>
  <c r="E3" i="6"/>
  <c r="K17" i="1"/>
  <c r="E9" i="2"/>
  <c r="E8" i="2"/>
  <c r="E19" i="2"/>
  <c r="E18" i="2"/>
  <c r="E17" i="2"/>
  <c r="E16" i="2"/>
  <c r="E15" i="2"/>
  <c r="E11" i="2"/>
  <c r="E12" i="2"/>
  <c r="E13" i="2"/>
  <c r="E14" i="2"/>
  <c r="E4" i="5"/>
  <c r="E3" i="5"/>
  <c r="E7" i="2"/>
  <c r="E6" i="2"/>
  <c r="E2" i="2"/>
  <c r="E4" i="4"/>
  <c r="D1" i="7" l="1"/>
  <c r="K18" i="1" s="1"/>
  <c r="D23" i="2"/>
  <c r="E10" i="2"/>
  <c r="E5" i="2"/>
  <c r="E4" i="2"/>
  <c r="E3" i="2"/>
  <c r="K13" i="1"/>
  <c r="E2" i="6"/>
  <c r="E2" i="5"/>
  <c r="E7" i="5" s="1"/>
  <c r="K12" i="1" s="1"/>
  <c r="E3" i="4"/>
  <c r="E2" i="4"/>
  <c r="E9" i="4" s="1"/>
  <c r="E3" i="3"/>
  <c r="K14" i="1" s="1"/>
  <c r="E2" i="3"/>
  <c r="D7" i="1"/>
  <c r="E8" i="3" l="1"/>
  <c r="E23" i="2"/>
  <c r="K11" i="1" s="1"/>
  <c r="D6" i="1" s="1"/>
</calcChain>
</file>

<file path=xl/sharedStrings.xml><?xml version="1.0" encoding="utf-8"?>
<sst xmlns="http://schemas.openxmlformats.org/spreadsheetml/2006/main" count="184" uniqueCount="122">
  <si>
    <t xml:space="preserve">REKAPITULASI ANGGARAN </t>
  </si>
  <si>
    <t>Nama Bagian</t>
  </si>
  <si>
    <t>:</t>
  </si>
  <si>
    <t>UPT Laboratorium Komputer</t>
  </si>
  <si>
    <t>Nama Pimpinan</t>
  </si>
  <si>
    <t>Bayu Eka Riarsa Thira A.Md</t>
  </si>
  <si>
    <t>Jumlah Pagu</t>
  </si>
  <si>
    <t>Anggaran Minimal</t>
  </si>
  <si>
    <t>Anggaran Tambahan</t>
  </si>
  <si>
    <t>No.</t>
  </si>
  <si>
    <t>Nama Kegiatan</t>
  </si>
  <si>
    <t>Tujuan Kegiatan</t>
  </si>
  <si>
    <t>Sasaran</t>
  </si>
  <si>
    <t>Waktu Pelaksanaan</t>
  </si>
  <si>
    <t>Prioritas Pelaksanaan</t>
  </si>
  <si>
    <t>Hubungan Dengan Kegiatan Lain</t>
  </si>
  <si>
    <t>Nama Kegiatan Lain</t>
  </si>
  <si>
    <t>Anggaran Minimal (Anggaran Prioritas)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</si>
  <si>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</si>
  <si>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</si>
  <si>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</si>
  <si>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</si>
  <si>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</si>
  <si>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</si>
  <si>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</si>
  <si>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</si>
  <si>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</si>
  <si>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</si>
  <si>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Perbaikan komputer</t>
  </si>
  <si>
    <t>Memperbaiki komputer yang rusak
(membutuhkan penggantian hardware)</t>
  </si>
  <si>
    <t>UPT Labkom</t>
  </si>
  <si>
    <t>September 2023</t>
  </si>
  <si>
    <t>Utama</t>
  </si>
  <si>
    <t>Perawatan Infrastruktur Jaringan</t>
  </si>
  <si>
    <t>Mengganti akses poin, switch hub 16port, Stabilizer 1000VA</t>
  </si>
  <si>
    <t>Oktober 2024</t>
  </si>
  <si>
    <t>Upgrade Infrastruktur Jaringan</t>
  </si>
  <si>
    <t>Menganti Switch hub 100 mbps ke 1 gbps</t>
  </si>
  <si>
    <t>November 2024</t>
  </si>
  <si>
    <t>Mengganti Akses point ke yang lebih memadai (yang dapat meng-handle 40++ user dan mempunya frekuensi 2,4GHz dan 5Ghz)</t>
  </si>
  <si>
    <t>Desember 2024</t>
  </si>
  <si>
    <t>Perawatan SI</t>
  </si>
  <si>
    <t>Memperpanjang sewa hosting dan domain</t>
  </si>
  <si>
    <t>April 2025</t>
  </si>
  <si>
    <t>Fasilitas Pengembangan dan Implementasi SI</t>
  </si>
  <si>
    <t>Menambah RAM server</t>
  </si>
  <si>
    <t>September 2024</t>
  </si>
  <si>
    <t>Penambahan Infrastruktur Jaringan</t>
  </si>
  <si>
    <t>Menambah Akses Poin, Penambahan jaringan ke ruangan Prodi Baru</t>
  </si>
  <si>
    <t>Pengadaan Zoom Pro</t>
  </si>
  <si>
    <t>Memfasilitasi zoom meeting pro untuk kegiatan STIKes Respati secara daring</t>
  </si>
  <si>
    <t>Tiap Bulan (Rp. 270.000)</t>
  </si>
  <si>
    <t>Keterangan:</t>
  </si>
  <si>
    <t>Kolom a diisi sesuai urutan waktu pelaksanaan kegiatan paling awal sampai paling akhir</t>
  </si>
  <si>
    <t>Kolom b diisi dengan nama kegiatan</t>
  </si>
  <si>
    <t>Kolom c diisi dengan tujuan dari kegiatan</t>
  </si>
  <si>
    <t>Kolom d diisi dengan sasaran yang ingin dicapai</t>
  </si>
  <si>
    <t>Kolom e diisi dengan nama bulan sesuai rentang waktu pelaksanaan kegiatan</t>
  </si>
  <si>
    <t>Kolom f diisi sesuai skala prioritas pelaksanaan kegiatan, yaitu:</t>
  </si>
  <si>
    <r>
      <rPr>
        <b/>
        <sz val="11"/>
        <color theme="1"/>
        <rFont val="Calibri"/>
        <family val="2"/>
        <scheme val="minor"/>
      </rPr>
      <t>Utama</t>
    </r>
    <r>
      <rPr>
        <sz val="11"/>
        <color theme="1"/>
        <rFont val="Calibri"/>
        <family val="2"/>
        <scheme val="minor"/>
      </rPr>
      <t xml:space="preserve"> jika kegiatannya harus dilaksanakan</t>
    </r>
  </si>
  <si>
    <r>
      <rPr>
        <b/>
        <sz val="11"/>
        <color theme="1"/>
        <rFont val="Calibri"/>
        <family val="2"/>
        <scheme val="minor"/>
      </rPr>
      <t>Pendukung</t>
    </r>
    <r>
      <rPr>
        <sz val="11"/>
        <color theme="1"/>
        <rFont val="Calibri"/>
        <family val="2"/>
        <scheme val="minor"/>
      </rPr>
      <t xml:space="preserve"> jika kegiatannya dilaksanakan untuk mendukung tercapainya tujuan dan sasaran kegiatan Prioritas Utama</t>
    </r>
  </si>
  <si>
    <r>
      <rPr>
        <b/>
        <sz val="11"/>
        <color theme="1"/>
        <rFont val="Calibri"/>
        <family val="2"/>
        <scheme val="minor"/>
      </rPr>
      <t>Tambahan</t>
    </r>
    <r>
      <rPr>
        <sz val="11"/>
        <color theme="1"/>
        <rFont val="Calibri"/>
        <family val="2"/>
        <scheme val="minor"/>
      </rPr>
      <t xml:space="preserve"> jika kegiatannya dilaksanakan untuk meningkatkan pencapaian kegiatan Prioritas Utama</t>
    </r>
  </si>
  <si>
    <t>Kolom g diisi dengan:</t>
  </si>
  <si>
    <r>
      <rPr>
        <b/>
        <sz val="11"/>
        <color theme="1"/>
        <rFont val="Calibri"/>
        <family val="2"/>
        <scheme val="minor"/>
      </rPr>
      <t>Angka 1</t>
    </r>
    <r>
      <rPr>
        <sz val="11"/>
        <color theme="1"/>
        <rFont val="Calibri"/>
        <family val="2"/>
        <scheme val="minor"/>
      </rPr>
      <t xml:space="preserve"> jika kegiatan berdiri sendiri dan tidak berhubungan dengan kegiatan lain</t>
    </r>
  </si>
  <si>
    <r>
      <rPr>
        <b/>
        <sz val="11"/>
        <color theme="1"/>
        <rFont val="Calibri"/>
        <family val="2"/>
        <scheme val="minor"/>
      </rPr>
      <t>Angka 2</t>
    </r>
    <r>
      <rPr>
        <sz val="11"/>
        <color theme="1"/>
        <rFont val="Calibri"/>
        <family val="2"/>
        <scheme val="minor"/>
      </rPr>
      <t xml:space="preserve"> jika kegiatan berhubungan dengan pelaksanaan kegiatan lain yang dilaksanakan oleh bagian yang sama</t>
    </r>
  </si>
  <si>
    <r>
      <rPr>
        <b/>
        <sz val="11"/>
        <color theme="1"/>
        <rFont val="Calibri"/>
        <family val="2"/>
        <scheme val="minor"/>
      </rPr>
      <t>Angka 3</t>
    </r>
    <r>
      <rPr>
        <sz val="11"/>
        <color theme="1"/>
        <rFont val="Calibri"/>
        <family val="2"/>
        <scheme val="minor"/>
      </rPr>
      <t xml:space="preserve"> jika kegiatan berhubungan dengan pelaksanaan kegiatan lain yang dilaksanakan oleh bagian lain</t>
    </r>
  </si>
  <si>
    <t>Kolom h diisi sesuai nama kegiatan lain yang berhubungan jika kolom g diisi "Angka 2" atau "Angka 3"</t>
  </si>
  <si>
    <t>Kolom I diisi dengan jumlah anggaran minimal yang dibutuhkan</t>
  </si>
  <si>
    <t>Kolom j diisi dengan jumlah anggaran tambahan yang dibutuhkan</t>
  </si>
  <si>
    <t>Zoom Pro 1 Tahun</t>
  </si>
  <si>
    <t>Nama Hardware</t>
  </si>
  <si>
    <t>QTY</t>
  </si>
  <si>
    <t>Harga satuan</t>
  </si>
  <si>
    <t>Harga Total</t>
  </si>
  <si>
    <t>Lokasi</t>
  </si>
  <si>
    <t>LCD Monitor</t>
  </si>
  <si>
    <t>3 labkom, 1 Ka. BAAK, 1 TU Prodibidan</t>
  </si>
  <si>
    <t>SSD 128 GB</t>
  </si>
  <si>
    <t>Pc staf LPMI</t>
  </si>
  <si>
    <t>Pc. staf BAAK</t>
  </si>
  <si>
    <t>Pc. staf Humas</t>
  </si>
  <si>
    <t>SSD 256 GB</t>
  </si>
  <si>
    <t>pc. Ka BAK</t>
  </si>
  <si>
    <t>Ram 4GB DDR3</t>
  </si>
  <si>
    <t>Motherboard</t>
  </si>
  <si>
    <t>Power Suppy</t>
  </si>
  <si>
    <t>Ram 8GB DDR3</t>
  </si>
  <si>
    <t>PC. staf LPMI</t>
  </si>
  <si>
    <t>PC. staf Marketing</t>
  </si>
  <si>
    <t>PC. KPS kebidanan</t>
  </si>
  <si>
    <t>PC Labkom</t>
  </si>
  <si>
    <t>Keyboard dan mouse</t>
  </si>
  <si>
    <t>PC Labkom, LPPM, SDM</t>
  </si>
  <si>
    <t>Pc. Anjungan mandiri</t>
  </si>
  <si>
    <t>Total</t>
  </si>
  <si>
    <t>No</t>
  </si>
  <si>
    <t>Harga Satuan</t>
  </si>
  <si>
    <t>Total Harga</t>
  </si>
  <si>
    <t>TPLink 8 Port 10/100/1000 Gigabit / Switch Hub</t>
  </si>
  <si>
    <t>R.BAAK, R.BAK, R.Humas, R.WaketII</t>
  </si>
  <si>
    <t>Wireless Indoor RBcAPGi-5acD2nD (cAP ac)</t>
  </si>
  <si>
    <t>R. Pimpinan</t>
  </si>
  <si>
    <t>R.Prodi D3 dan S1 Kebidanan</t>
  </si>
  <si>
    <t>R. Prodi D3 Kebidanan, Taman Baca</t>
  </si>
  <si>
    <t>Kabel UTP CAT6</t>
  </si>
  <si>
    <t>Ruang Prodi Baru</t>
  </si>
  <si>
    <t>Asrama</t>
  </si>
  <si>
    <t>Stabilizer 1000 VA</t>
  </si>
  <si>
    <t>Ruang LPMI, Ruang Labkom</t>
  </si>
  <si>
    <t>Swith Hub 16 port Gigabit</t>
  </si>
  <si>
    <t>Ruang LPMI</t>
  </si>
  <si>
    <t>Harga</t>
  </si>
  <si>
    <t>Ram DDR3 8 GB ECC (server)  8GB</t>
  </si>
  <si>
    <t>- Server7
- Persiapan implementasi LMS</t>
  </si>
  <si>
    <t>Cloudflare Pro</t>
  </si>
  <si>
    <t xml:space="preserve">- 1 Tahun.
- Content Delivery Network (CDN),untuk keamanan sever dan aplikasi </t>
  </si>
  <si>
    <t>PC Rakitan</t>
  </si>
  <si>
    <t>- Persiapan Pengembangan Aplikasi
- development server</t>
  </si>
  <si>
    <t>Montor 24"</t>
  </si>
  <si>
    <t>Persiapan Pengembangan Aplikasi</t>
  </si>
  <si>
    <t>Sneat Dashboard PRO – Bootstrap 5</t>
  </si>
  <si>
    <t>- Persiapan Pengembangan Aplikasi
- Untuk Tampilan utama Aplikasi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</si>
</sst>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p&quot;* #,##0_-;\-&quot;Rp&quot;* #,##0_-;_-&quot;Rp&quot;* &quot;-&quot;_-;_-@_-"/>
    <numFmt numFmtId="164" formatCode="&quot;Rp&quot;#,##0"/>
    <numFmt numFmtId="165" formatCode="_-[$IDR-3809]* #,##0.00_-;\-[$IDR-3809]* #,##0.00_-;_-[$IDR-3809]* &quot;-&quot;??_-;_-@_-"/>
    <numFmt numFmtId="166" formatCode="&quot;Rp&quot;#,##0.00"/>
  </numFmts>
  <fonts count="6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42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42" fontId="0" fillId="0" borderId="9" xfId="0" applyNumberFormat="1" applyBorder="1" applyAlignment="1">
      <alignment vertical="top" wrapText="1"/>
    </xf>
    <xf numFmtId="42" fontId="0" fillId="0" borderId="6" xfId="0" applyNumberFormat="1" applyBorder="1" applyAlignment="1">
      <alignment vertical="top" wrapText="1"/>
    </xf>
    <xf numFmtId="42" fontId="0" fillId="0" borderId="10" xfId="0" applyNumberFormat="1" applyBorder="1" applyAlignment="1">
      <alignment vertical="top" wrapText="1"/>
    </xf>
    <xf numFmtId="42" fontId="0" fillId="0" borderId="7" xfId="0" applyNumberFormat="1" applyBorder="1" applyAlignment="1">
      <alignment vertical="top" wrapText="1"/>
    </xf>
    <xf numFmtId="42" fontId="0" fillId="0" borderId="11" xfId="0" applyNumberFormat="1" applyBorder="1" applyAlignment="1">
      <alignment vertical="top" wrapText="1"/>
    </xf>
    <xf numFmtId="0" fontId="0" fillId="0" borderId="0" xfId="0" quotePrefix="1"/>
    <xf numFmtId="0" fontId="0" fillId="0" borderId="0" xfId="0" applyAlignment="1">
      <alignment horizontal="center"/>
    </xf>
    <xf numFmtId="0" fontId="0" fillId="0" borderId="12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4" fillId="0" borderId="0" xfId="0" applyFont="1" applyAlignment="1">
      <alignment wrapText="1"/>
    </xf>
    <xf numFmtId="0" fontId="4" fillId="0" borderId="6" xfId="0" applyFont="1" applyBorder="1" applyAlignment="1">
      <alignment wrapText="1"/>
    </xf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3" fillId="0" borderId="0" xfId="0" applyFont="1"/>
    <xf numFmtId="20" fontId="0" fillId="0" borderId="0" xfId="0" applyNumberFormat="1"/>
    <xf numFmtId="0" fontId="0" fillId="0" borderId="3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164" fontId="0" fillId="0" borderId="0" xfId="0" applyNumberFormat="1"/>
    <xf numFmtId="165" fontId="0" fillId="0" borderId="0" xfId="0" applyNumberFormat="1"/>
    <xf numFmtId="0" fontId="2" fillId="0" borderId="6" xfId="0" applyFont="1" applyBorder="1" applyAlignment="1">
      <alignment horizontal="center" vertical="center"/>
    </xf>
    <xf numFmtId="0" fontId="0" fillId="0" borderId="6" xfId="0" applyBorder="1"/>
    <xf numFmtId="164" fontId="0" fillId="0" borderId="6" xfId="0" applyNumberFormat="1" applyBorder="1"/>
    <xf numFmtId="164" fontId="3" fillId="0" borderId="6" xfId="0" applyNumberFormat="1" applyFont="1" applyBorder="1"/>
    <xf numFmtId="0" fontId="1" fillId="0" borderId="12" xfId="0" quotePrefix="1" applyFont="1" applyBorder="1" applyAlignment="1">
      <alignment vertical="top" wrapText="1"/>
    </xf>
    <xf numFmtId="0" fontId="1" fillId="0" borderId="6" xfId="0" quotePrefix="1" applyFont="1" applyBorder="1" applyAlignment="1">
      <alignment vertical="top" wrapText="1"/>
    </xf>
    <xf numFmtId="0" fontId="1" fillId="0" borderId="13" xfId="0" quotePrefix="1" applyFont="1" applyBorder="1" applyAlignment="1">
      <alignment vertical="top" wrapText="1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vertical="center"/>
    </xf>
    <xf numFmtId="166" fontId="5" fillId="0" borderId="6" xfId="0" applyNumberFormat="1" applyFont="1" applyBorder="1" applyAlignment="1">
      <alignment vertical="center"/>
    </xf>
    <xf numFmtId="0" fontId="5" fillId="0" borderId="18" xfId="0" applyFont="1" applyBorder="1" applyAlignment="1">
      <alignment vertical="center" wrapText="1"/>
    </xf>
    <xf numFmtId="0" fontId="0" fillId="0" borderId="6" xfId="0" applyBorder="1" applyAlignment="1">
      <alignment vertical="center"/>
    </xf>
    <xf numFmtId="164" fontId="0" fillId="0" borderId="6" xfId="0" applyNumberFormat="1" applyBorder="1" applyAlignment="1">
      <alignment vertical="center"/>
    </xf>
    <xf numFmtId="0" fontId="0" fillId="0" borderId="6" xfId="0" quotePrefix="1" applyBorder="1" applyAlignment="1">
      <alignment vertical="center" wrapText="1"/>
    </xf>
    <xf numFmtId="166" fontId="0" fillId="0" borderId="6" xfId="0" applyNumberFormat="1" applyBorder="1" applyAlignment="1">
      <alignment vertical="center"/>
    </xf>
    <xf numFmtId="0" fontId="5" fillId="0" borderId="6" xfId="0" quotePrefix="1" applyFont="1" applyBorder="1" applyAlignment="1">
      <alignment vertical="center" wrapText="1"/>
    </xf>
    <xf numFmtId="0" fontId="5" fillId="0" borderId="18" xfId="0" quotePrefix="1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1" fillId="0" borderId="0" xfId="0" applyFont="1"/>
    <xf numFmtId="0" fontId="1" fillId="0" borderId="12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1" fillId="0" borderId="15" xfId="0" applyFont="1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1" fillId="0" borderId="6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1" fillId="0" borderId="16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3" fillId="0" borderId="6" xfId="0" applyFont="1" applyBorder="1" applyAlignment="1">
      <alignment horizontal="center" vertical="center"/>
    </xf>
    <xf numFmtId="164" fontId="0" fillId="0" borderId="15" xfId="0" applyNumberFormat="1" applyBorder="1" applyAlignment="1">
      <alignment horizontal="center"/>
    </xf>
    <xf numFmtId="0" fontId="0" fillId="0" borderId="1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workbookViewId="0">
      <selection activeCell="G15" sqref="G15"/>
    </sheetView>
  </sheetViews>
  <sheetFormatPr defaultColWidth="8.85546875" defaultRowHeight="15"/>
  <cols>
    <col min="1" max="1" width="4.28515625" customWidth="1"/>
    <col min="2" max="2" width="15" customWidth="1"/>
    <col min="3" max="3" width="1.42578125" customWidth="1"/>
    <col min="4" max="4" width="24.85546875" customWidth="1"/>
    <col min="5" max="5" width="42" customWidth="1"/>
    <col min="6" max="6" width="12" bestFit="1" customWidth="1"/>
    <col min="7" max="7" width="18.42578125" customWidth="1"/>
    <col min="8" max="8" width="13.42578125" customWidth="1"/>
    <col min="9" max="9" width="18.42578125" style="14" customWidth="1"/>
    <col min="10" max="10" width="19.140625" bestFit="1" customWidth="1"/>
    <col min="11" max="12" width="19.140625" customWidth="1"/>
  </cols>
  <sheetData>
    <row r="1" spans="1:12" ht="15.75">
      <c r="A1" s="21" t="s">
        <v>0</v>
      </c>
    </row>
    <row r="3" spans="1:12">
      <c r="A3" t="s">
        <v>1</v>
      </c>
      <c r="C3" s="13" t="s">
        <v>2</v>
      </c>
      <c r="D3" s="54" t="s">
        <v>3</v>
      </c>
    </row>
    <row r="4" spans="1:12">
      <c r="A4" t="s">
        <v>4</v>
      </c>
      <c r="C4" s="13" t="s">
        <v>2</v>
      </c>
      <c r="D4" s="54" t="s">
        <v>5</v>
      </c>
    </row>
    <row r="5" spans="1:12">
      <c r="A5" t="s">
        <v>6</v>
      </c>
      <c r="C5" s="13" t="s">
        <v>2</v>
      </c>
      <c r="D5" s="4">
        <v>0</v>
      </c>
    </row>
    <row r="6" spans="1:12">
      <c r="A6" t="s">
        <v>7</v>
      </c>
      <c r="C6" s="13" t="s">
        <v>2</v>
      </c>
      <c r="D6" s="4">
        <f>SUM(K11:K25)</f>
        <v>56290000</v>
      </c>
    </row>
    <row r="7" spans="1:12">
      <c r="A7" t="s">
        <v>8</v>
      </c>
      <c r="C7" s="13" t="s">
        <v>2</v>
      </c>
      <c r="D7" s="4">
        <f>SUM(L11:L25)</f>
        <v>0</v>
      </c>
    </row>
    <row r="9" spans="1:12" s="1" customFormat="1" ht="30" customHeight="1" thickTop="1" thickBot="1">
      <c r="A9" s="22" t="s">
        <v>9</v>
      </c>
      <c r="B9" s="68" t="s">
        <v>10</v>
      </c>
      <c r="C9" s="68"/>
      <c r="D9" s="68"/>
      <c r="E9" s="48" t="s">
        <v>11</v>
      </c>
      <c r="F9" s="48" t="s">
        <v>12</v>
      </c>
      <c r="G9" s="48" t="s">
        <v>13</v>
      </c>
      <c r="H9" s="48" t="s">
        <v>14</v>
      </c>
      <c r="I9" s="48" t="s">
        <v>15</v>
      </c>
      <c r="J9" s="48" t="s">
        <v>16</v>
      </c>
      <c r="K9" s="48" t="s">
        <v>17</v>
      </c>
      <c r="L9" s="6" t="s">
        <v>8</v>
      </c>
    </row>
    <row r="10" spans="1:12" s="2" customFormat="1" ht="16.5" thickTop="1" thickBot="1">
      <c r="A10" s="5" t="s">
        <v>18</v>
      </c>
      <c r="B10" s="69" t="s">
        <v>19</v>
      </c>
      <c r="C10" s="69"/>
      <c r="D10" s="69"/>
      <c r="E10" s="49" t="s">
        <v>20</v>
      </c>
      <c r="F10" s="49" t="s">
        <v>21</v>
      </c>
      <c r="G10" s="49" t="s">
        <v>22</v>
      </c>
      <c r="H10" s="49" t="s">
        <v>23</v>
      </c>
      <c r="I10" s="49" t="s">
        <v>24</v>
      </c>
      <c r="J10" s="49" t="s">
        <v>25</v>
      </c>
      <c r="K10" s="49" t="s">
        <v>26</v>
      </c>
      <c r="L10" s="7" t="s">
        <v>27</v>
      </c>
    </row>
    <row r="11" spans="1:12" s="3" customFormat="1" ht="30" customHeight="1" thickTop="1">
      <c r="A11" s="25">
        <v>1</v>
      </c>
      <c r="B11" s="70" t="s">
        <v>28</v>
      </c>
      <c r="C11" s="71"/>
      <c r="D11" s="71"/>
      <c r="E11" s="50" t="s">
        <v>29</v>
      </c>
      <c r="F11" s="55" t="s">
        <v>30</v>
      </c>
      <c r="G11" s="33" t="s">
        <v>31</v>
      </c>
      <c r="H11" s="55" t="s">
        <v>32</v>
      </c>
      <c r="I11" s="15">
        <v>1</v>
      </c>
      <c r="J11" s="51"/>
      <c r="K11" s="9">
        <f>'Perbaikan Komputer'!E23</f>
        <v>20720000</v>
      </c>
      <c r="L11" s="8">
        <v>0</v>
      </c>
    </row>
    <row r="12" spans="1:12" s="3" customFormat="1" ht="30" customHeight="1">
      <c r="A12" s="26">
        <v>2</v>
      </c>
      <c r="B12" s="64" t="s">
        <v>33</v>
      </c>
      <c r="C12" s="59"/>
      <c r="D12" s="59"/>
      <c r="E12" s="56" t="s">
        <v>34</v>
      </c>
      <c r="F12" s="56" t="s">
        <v>30</v>
      </c>
      <c r="G12" s="34" t="s">
        <v>35</v>
      </c>
      <c r="H12" s="56" t="s">
        <v>32</v>
      </c>
      <c r="I12" s="16">
        <v>1</v>
      </c>
      <c r="J12" s="52"/>
      <c r="K12" s="9">
        <f>'Perawatan Infr. Jaringan'!E7</f>
        <v>3350000</v>
      </c>
      <c r="L12" s="10">
        <v>0</v>
      </c>
    </row>
    <row r="13" spans="1:12" s="3" customFormat="1" ht="30" customHeight="1">
      <c r="A13" s="26">
        <v>4</v>
      </c>
      <c r="B13" s="64" t="s">
        <v>36</v>
      </c>
      <c r="C13" s="59"/>
      <c r="D13" s="59"/>
      <c r="E13" s="56" t="s">
        <v>37</v>
      </c>
      <c r="F13" s="57" t="s">
        <v>30</v>
      </c>
      <c r="G13" s="35" t="s">
        <v>38</v>
      </c>
      <c r="H13" s="57" t="s">
        <v>32</v>
      </c>
      <c r="I13" s="17">
        <v>1</v>
      </c>
      <c r="J13" s="52"/>
      <c r="K13" s="9">
        <f>'Upgrade Infr. Jaringan'!E2</f>
        <v>1520000</v>
      </c>
      <c r="L13" s="10">
        <v>0</v>
      </c>
    </row>
    <row r="14" spans="1:12" s="3" customFormat="1" ht="45">
      <c r="A14" s="26">
        <v>5</v>
      </c>
      <c r="B14" s="65" t="s">
        <v>36</v>
      </c>
      <c r="C14" s="66"/>
      <c r="D14" s="67"/>
      <c r="E14" s="56" t="s">
        <v>39</v>
      </c>
      <c r="F14" s="57" t="s">
        <v>30</v>
      </c>
      <c r="G14" s="34" t="s">
        <v>40</v>
      </c>
      <c r="H14" s="57" t="s">
        <v>32</v>
      </c>
      <c r="I14" s="16">
        <v>1</v>
      </c>
      <c r="J14" s="52"/>
      <c r="K14" s="9">
        <f>'Upgrade Infr. Jaringan'!E3</f>
        <v>1500000</v>
      </c>
      <c r="L14" s="10">
        <v>0</v>
      </c>
    </row>
    <row r="15" spans="1:12" s="3" customFormat="1" ht="30" customHeight="1" thickBot="1">
      <c r="A15" s="26">
        <v>6</v>
      </c>
      <c r="B15" s="65" t="s">
        <v>41</v>
      </c>
      <c r="C15" s="66"/>
      <c r="D15" s="67"/>
      <c r="E15" s="56" t="s">
        <v>42</v>
      </c>
      <c r="F15" s="56" t="s">
        <v>30</v>
      </c>
      <c r="G15" s="34" t="s">
        <v>43</v>
      </c>
      <c r="H15" s="57" t="s">
        <v>32</v>
      </c>
      <c r="I15" s="16">
        <v>1</v>
      </c>
      <c r="J15" s="56"/>
      <c r="K15" s="9">
        <v>2000000</v>
      </c>
      <c r="L15" s="10">
        <v>0</v>
      </c>
    </row>
    <row r="16" spans="1:12" s="3" customFormat="1" ht="15.75" thickTop="1">
      <c r="A16" s="26">
        <v>7</v>
      </c>
      <c r="B16" s="65" t="s">
        <v>44</v>
      </c>
      <c r="C16" s="66"/>
      <c r="D16" s="67"/>
      <c r="E16" s="56" t="s">
        <v>45</v>
      </c>
      <c r="F16" s="56" t="s">
        <v>30</v>
      </c>
      <c r="G16" s="33" t="s">
        <v>46</v>
      </c>
      <c r="H16" s="57" t="s">
        <v>32</v>
      </c>
      <c r="I16" s="16">
        <v>1</v>
      </c>
      <c r="J16" s="52"/>
      <c r="K16" s="9">
        <f>'Fasilitas Sistem Informasi'!E12</f>
        <v>18200000</v>
      </c>
      <c r="L16" s="10">
        <v>0</v>
      </c>
    </row>
    <row r="17" spans="1:12" s="3" customFormat="1" ht="30" customHeight="1">
      <c r="A17" s="26">
        <v>8</v>
      </c>
      <c r="B17" s="64" t="s">
        <v>47</v>
      </c>
      <c r="C17" s="59"/>
      <c r="D17" s="59"/>
      <c r="E17" s="56" t="s">
        <v>48</v>
      </c>
      <c r="F17" s="58" t="s">
        <v>30</v>
      </c>
      <c r="G17" s="34" t="s">
        <v>35</v>
      </c>
      <c r="H17" s="57" t="s">
        <v>32</v>
      </c>
      <c r="I17" s="16">
        <v>1</v>
      </c>
      <c r="J17" s="52"/>
      <c r="K17" s="9">
        <f>'Penambahan Infr. Jaringan'!E9</f>
        <v>5760000</v>
      </c>
      <c r="L17" s="10">
        <v>0</v>
      </c>
    </row>
    <row r="18" spans="1:12" s="3" customFormat="1" ht="30">
      <c r="A18" s="26">
        <v>9</v>
      </c>
      <c r="B18" s="64" t="s">
        <v>49</v>
      </c>
      <c r="C18" s="59"/>
      <c r="D18" s="59"/>
      <c r="E18" s="56" t="s">
        <v>50</v>
      </c>
      <c r="F18" s="56" t="s">
        <v>30</v>
      </c>
      <c r="G18" s="56" t="s">
        <v>51</v>
      </c>
      <c r="H18" s="57" t="s">
        <v>32</v>
      </c>
      <c r="I18" s="16">
        <v>1</v>
      </c>
      <c r="J18" s="52"/>
      <c r="K18" s="9">
        <f>Zoom!D1</f>
        <v>3240000</v>
      </c>
      <c r="L18" s="10">
        <v>0</v>
      </c>
    </row>
    <row r="19" spans="1:12" s="3" customFormat="1">
      <c r="A19" s="26">
        <v>10</v>
      </c>
      <c r="B19" s="61"/>
      <c r="C19" s="62"/>
      <c r="D19" s="63"/>
      <c r="E19" s="56"/>
      <c r="F19" s="56"/>
      <c r="G19" s="52"/>
      <c r="H19" s="56"/>
      <c r="I19" s="16"/>
      <c r="J19" s="56"/>
      <c r="K19" s="9">
        <v>0</v>
      </c>
      <c r="L19" s="10">
        <v>0</v>
      </c>
    </row>
    <row r="20" spans="1:12" s="3" customFormat="1">
      <c r="A20" s="26">
        <v>11</v>
      </c>
      <c r="B20" s="64"/>
      <c r="C20" s="59"/>
      <c r="D20" s="59"/>
      <c r="E20" s="56"/>
      <c r="F20" s="56"/>
      <c r="G20" s="56"/>
      <c r="H20" s="56"/>
      <c r="I20" s="16"/>
      <c r="J20" s="56"/>
      <c r="K20" s="9">
        <v>0</v>
      </c>
      <c r="L20" s="10">
        <v>0</v>
      </c>
    </row>
    <row r="21" spans="1:12" s="3" customFormat="1">
      <c r="A21" s="26">
        <v>12</v>
      </c>
      <c r="B21" s="64"/>
      <c r="C21" s="59"/>
      <c r="D21" s="59"/>
      <c r="E21" s="56"/>
      <c r="F21" s="56"/>
      <c r="G21" s="56"/>
      <c r="H21" s="56"/>
      <c r="I21" s="16"/>
      <c r="J21" s="52"/>
      <c r="K21" s="9">
        <v>0</v>
      </c>
      <c r="L21" s="10">
        <v>0</v>
      </c>
    </row>
    <row r="22" spans="1:12" s="3" customFormat="1" ht="15.75">
      <c r="A22" s="26">
        <v>13</v>
      </c>
      <c r="B22" s="64"/>
      <c r="C22" s="59"/>
      <c r="D22" s="59"/>
      <c r="E22" s="19"/>
      <c r="F22" s="56"/>
      <c r="G22" s="52"/>
      <c r="H22" s="56"/>
      <c r="I22" s="16"/>
      <c r="J22" s="52"/>
      <c r="K22" s="9">
        <v>0</v>
      </c>
      <c r="L22" s="10">
        <v>0</v>
      </c>
    </row>
    <row r="23" spans="1:12" s="3" customFormat="1" ht="30" customHeight="1">
      <c r="A23" s="26">
        <v>14</v>
      </c>
      <c r="B23" s="64"/>
      <c r="C23" s="59"/>
      <c r="D23" s="59"/>
      <c r="E23" s="20"/>
      <c r="F23" s="56"/>
      <c r="G23" s="52"/>
      <c r="H23" s="56"/>
      <c r="I23" s="16"/>
      <c r="J23" s="52"/>
      <c r="K23" s="9">
        <v>0</v>
      </c>
      <c r="L23" s="10">
        <v>0</v>
      </c>
    </row>
    <row r="24" spans="1:12" s="3" customFormat="1" ht="30" customHeight="1">
      <c r="A24" s="26">
        <v>15</v>
      </c>
      <c r="B24" s="59"/>
      <c r="C24" s="59"/>
      <c r="D24" s="59"/>
      <c r="E24" s="52"/>
      <c r="F24" s="52"/>
      <c r="G24" s="52"/>
      <c r="H24" s="52"/>
      <c r="I24" s="16"/>
      <c r="J24" s="52"/>
      <c r="K24" s="9">
        <v>0</v>
      </c>
      <c r="L24" s="10">
        <v>0</v>
      </c>
    </row>
    <row r="25" spans="1:12" s="3" customFormat="1" ht="30" customHeight="1" thickBot="1">
      <c r="A25" s="26">
        <v>16</v>
      </c>
      <c r="B25" s="60"/>
      <c r="C25" s="60"/>
      <c r="D25" s="60"/>
      <c r="E25" s="53"/>
      <c r="F25" s="53"/>
      <c r="G25" s="53"/>
      <c r="H25" s="53"/>
      <c r="I25" s="18"/>
      <c r="J25" s="53"/>
      <c r="K25" s="11">
        <v>0</v>
      </c>
      <c r="L25" s="12">
        <v>0</v>
      </c>
    </row>
    <row r="26" spans="1:12" ht="15.75" thickTop="1">
      <c r="K26" s="4"/>
      <c r="L26" s="4"/>
    </row>
    <row r="27" spans="1:12">
      <c r="A27" s="23" t="s">
        <v>52</v>
      </c>
    </row>
    <row r="28" spans="1:12">
      <c r="A28" s="24" t="s">
        <v>53</v>
      </c>
    </row>
    <row r="29" spans="1:12">
      <c r="A29" t="s">
        <v>54</v>
      </c>
    </row>
    <row r="30" spans="1:12">
      <c r="A30" t="s">
        <v>55</v>
      </c>
    </row>
    <row r="31" spans="1:12">
      <c r="A31" s="54" t="s">
        <v>56</v>
      </c>
    </row>
    <row r="32" spans="1:12">
      <c r="A32" t="s">
        <v>57</v>
      </c>
    </row>
    <row r="33" spans="1:2">
      <c r="A33" t="s">
        <v>58</v>
      </c>
    </row>
    <row r="34" spans="1:2">
      <c r="B34" s="54" t="s">
        <v>59</v>
      </c>
    </row>
    <row r="35" spans="1:2">
      <c r="B35" s="54" t="s">
        <v>60</v>
      </c>
    </row>
    <row r="36" spans="1:2">
      <c r="B36" s="54" t="s">
        <v>61</v>
      </c>
    </row>
    <row r="37" spans="1:2">
      <c r="A37" t="s">
        <v>62</v>
      </c>
    </row>
    <row r="38" spans="1:2">
      <c r="B38" s="54" t="s">
        <v>63</v>
      </c>
    </row>
    <row r="39" spans="1:2">
      <c r="B39" s="54" t="s">
        <v>64</v>
      </c>
    </row>
    <row r="40" spans="1:2">
      <c r="B40" s="54" t="s">
        <v>65</v>
      </c>
    </row>
    <row r="41" spans="1:2">
      <c r="A41" t="s">
        <v>66</v>
      </c>
    </row>
    <row r="42" spans="1:2">
      <c r="A42" t="s">
        <v>67</v>
      </c>
    </row>
    <row r="43" spans="1:2">
      <c r="A43" t="s">
        <v>68</v>
      </c>
    </row>
  </sheetData>
  <mergeCells count="17"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24:D24"/>
    <mergeCell ref="B25:D25"/>
    <mergeCell ref="B19:D19"/>
    <mergeCell ref="B20:D20"/>
    <mergeCell ref="B21:D21"/>
    <mergeCell ref="B22:D22"/>
    <mergeCell ref="B23:D23"/>
  </mergeCells>
  <pageMargins left="0.39370078740157499" right="1.1811023622047201" top="0.39370078740157499" bottom="0.39370078740157499" header="0.31496062992126" footer="0.31496062992126"/>
  <pageSetup paperSize="5" scale="63" fitToWidth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>
      <selection activeCell="C1" sqref="C1"/>
    </sheetView>
  </sheetViews>
  <sheetFormatPr defaultColWidth="11.42578125" defaultRowHeight="15"/>
  <cols>
    <col min="1" max="1" width="14.85546875" bestFit="1" customWidth="1"/>
    <col min="4" max="4" width="16.28515625" bestFit="1" customWidth="1"/>
  </cols>
  <sheetData>
    <row r="1" spans="1:4">
      <c r="A1" t="s">
        <v>69</v>
      </c>
      <c r="B1">
        <v>12</v>
      </c>
      <c r="C1">
        <v>270000</v>
      </c>
      <c r="D1" s="28">
        <f>C1*B1</f>
        <v>3240000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zoomScaleNormal="100" workbookViewId="0">
      <selection activeCell="F12" sqref="F12"/>
    </sheetView>
  </sheetViews>
  <sheetFormatPr defaultColWidth="8.85546875" defaultRowHeight="15"/>
  <cols>
    <col min="1" max="1" width="4.140625" bestFit="1" customWidth="1"/>
    <col min="2" max="2" width="18.28515625" bestFit="1" customWidth="1"/>
    <col min="3" max="3" width="4.7109375" bestFit="1" customWidth="1"/>
    <col min="4" max="4" width="12.42578125" bestFit="1" customWidth="1"/>
    <col min="5" max="5" width="12.28515625" bestFit="1" customWidth="1"/>
    <col min="6" max="6" width="35.140625" bestFit="1" customWidth="1"/>
    <col min="7" max="7" width="11.140625" bestFit="1" customWidth="1"/>
  </cols>
  <sheetData>
    <row r="1" spans="1:6" ht="15.75">
      <c r="A1" s="29" t="s">
        <v>9</v>
      </c>
      <c r="B1" s="29" t="s">
        <v>70</v>
      </c>
      <c r="C1" s="29" t="s">
        <v>71</v>
      </c>
      <c r="D1" s="29" t="s">
        <v>72</v>
      </c>
      <c r="E1" s="29" t="s">
        <v>73</v>
      </c>
      <c r="F1" s="29" t="s">
        <v>74</v>
      </c>
    </row>
    <row r="2" spans="1:6">
      <c r="A2" s="30">
        <v>1</v>
      </c>
      <c r="B2" s="30" t="s">
        <v>75</v>
      </c>
      <c r="C2" s="30">
        <v>6</v>
      </c>
      <c r="D2" s="31">
        <v>1500000</v>
      </c>
      <c r="E2" s="31">
        <f t="shared" ref="E2:E10" si="0">D2*C2</f>
        <v>9000000</v>
      </c>
      <c r="F2" s="30" t="s">
        <v>76</v>
      </c>
    </row>
    <row r="3" spans="1:6">
      <c r="A3" s="30">
        <v>2</v>
      </c>
      <c r="B3" s="30" t="s">
        <v>77</v>
      </c>
      <c r="C3" s="30">
        <v>1</v>
      </c>
      <c r="D3" s="31">
        <v>220000</v>
      </c>
      <c r="E3" s="31">
        <f t="shared" si="0"/>
        <v>220000</v>
      </c>
      <c r="F3" s="30" t="s">
        <v>78</v>
      </c>
    </row>
    <row r="4" spans="1:6">
      <c r="A4" s="30">
        <v>3</v>
      </c>
      <c r="B4" s="30" t="s">
        <v>77</v>
      </c>
      <c r="C4" s="30">
        <v>1</v>
      </c>
      <c r="D4" s="31">
        <v>220000</v>
      </c>
      <c r="E4" s="31">
        <f t="shared" si="0"/>
        <v>220000</v>
      </c>
      <c r="F4" s="30" t="s">
        <v>79</v>
      </c>
    </row>
    <row r="5" spans="1:6">
      <c r="A5" s="30">
        <v>4</v>
      </c>
      <c r="B5" s="30" t="s">
        <v>77</v>
      </c>
      <c r="C5" s="30">
        <v>1</v>
      </c>
      <c r="D5" s="31">
        <v>220000</v>
      </c>
      <c r="E5" s="31">
        <f t="shared" si="0"/>
        <v>220000</v>
      </c>
      <c r="F5" s="30" t="s">
        <v>80</v>
      </c>
    </row>
    <row r="6" spans="1:6">
      <c r="A6" s="30">
        <v>5</v>
      </c>
      <c r="B6" s="30" t="s">
        <v>81</v>
      </c>
      <c r="C6" s="30">
        <v>1</v>
      </c>
      <c r="D6" s="31">
        <v>320000</v>
      </c>
      <c r="E6" s="31">
        <f t="shared" si="0"/>
        <v>320000</v>
      </c>
      <c r="F6" s="30" t="s">
        <v>82</v>
      </c>
    </row>
    <row r="7" spans="1:6">
      <c r="A7" s="30">
        <v>6</v>
      </c>
      <c r="B7" s="30" t="s">
        <v>83</v>
      </c>
      <c r="C7" s="30">
        <v>1</v>
      </c>
      <c r="D7" s="31">
        <v>180000</v>
      </c>
      <c r="E7" s="31">
        <f t="shared" si="0"/>
        <v>180000</v>
      </c>
      <c r="F7" s="30" t="s">
        <v>82</v>
      </c>
    </row>
    <row r="8" spans="1:6">
      <c r="A8" s="30">
        <v>7</v>
      </c>
      <c r="B8" s="30" t="s">
        <v>84</v>
      </c>
      <c r="C8" s="30">
        <v>1</v>
      </c>
      <c r="D8" s="31">
        <v>750000</v>
      </c>
      <c r="E8" s="31">
        <f t="shared" si="0"/>
        <v>750000</v>
      </c>
      <c r="F8" s="30" t="s">
        <v>82</v>
      </c>
    </row>
    <row r="9" spans="1:6">
      <c r="A9" s="30">
        <v>8</v>
      </c>
      <c r="B9" s="30" t="s">
        <v>85</v>
      </c>
      <c r="C9" s="30">
        <v>1</v>
      </c>
      <c r="D9" s="31">
        <v>450000</v>
      </c>
      <c r="E9" s="31">
        <f t="shared" si="0"/>
        <v>450000</v>
      </c>
      <c r="F9" s="30" t="s">
        <v>82</v>
      </c>
    </row>
    <row r="10" spans="1:6">
      <c r="A10" s="30">
        <v>9</v>
      </c>
      <c r="B10" s="30" t="s">
        <v>86</v>
      </c>
      <c r="C10" s="30">
        <v>1</v>
      </c>
      <c r="D10" s="31">
        <v>270000</v>
      </c>
      <c r="E10" s="31">
        <f t="shared" si="0"/>
        <v>270000</v>
      </c>
      <c r="F10" s="30" t="s">
        <v>87</v>
      </c>
    </row>
    <row r="11" spans="1:6">
      <c r="A11" s="30">
        <v>10</v>
      </c>
      <c r="B11" s="30" t="s">
        <v>86</v>
      </c>
      <c r="C11" s="30">
        <v>1</v>
      </c>
      <c r="D11" s="31">
        <v>270000</v>
      </c>
      <c r="E11" s="31">
        <f t="shared" ref="E11:E18" si="1">D11*C11</f>
        <v>270000</v>
      </c>
      <c r="F11" s="30" t="s">
        <v>88</v>
      </c>
    </row>
    <row r="12" spans="1:6">
      <c r="A12" s="30">
        <v>11</v>
      </c>
      <c r="B12" s="30" t="s">
        <v>85</v>
      </c>
      <c r="C12" s="30">
        <v>1</v>
      </c>
      <c r="D12" s="31">
        <v>600000</v>
      </c>
      <c r="E12" s="31">
        <f t="shared" si="1"/>
        <v>600000</v>
      </c>
      <c r="F12" s="30" t="s">
        <v>89</v>
      </c>
    </row>
    <row r="13" spans="1:6">
      <c r="A13" s="30">
        <v>12</v>
      </c>
      <c r="B13" s="30" t="s">
        <v>77</v>
      </c>
      <c r="C13" s="30">
        <v>1</v>
      </c>
      <c r="D13" s="31">
        <v>220000</v>
      </c>
      <c r="E13" s="31">
        <f t="shared" si="1"/>
        <v>220000</v>
      </c>
      <c r="F13" s="30" t="s">
        <v>89</v>
      </c>
    </row>
    <row r="14" spans="1:6">
      <c r="A14" s="30">
        <v>13</v>
      </c>
      <c r="B14" s="30" t="s">
        <v>85</v>
      </c>
      <c r="C14" s="30">
        <v>4</v>
      </c>
      <c r="D14" s="31">
        <v>450000</v>
      </c>
      <c r="E14" s="31">
        <f t="shared" si="1"/>
        <v>1800000</v>
      </c>
      <c r="F14" s="30" t="s">
        <v>90</v>
      </c>
    </row>
    <row r="15" spans="1:6">
      <c r="A15" s="30">
        <v>14</v>
      </c>
      <c r="B15" s="30" t="s">
        <v>83</v>
      </c>
      <c r="C15" s="30">
        <v>4</v>
      </c>
      <c r="D15" s="31">
        <v>180000</v>
      </c>
      <c r="E15" s="31">
        <f t="shared" si="1"/>
        <v>720000</v>
      </c>
      <c r="F15" s="30" t="s">
        <v>90</v>
      </c>
    </row>
    <row r="16" spans="1:6">
      <c r="A16" s="30">
        <v>15</v>
      </c>
      <c r="B16" s="30" t="s">
        <v>77</v>
      </c>
      <c r="C16" s="30">
        <v>2</v>
      </c>
      <c r="D16" s="31">
        <v>220000</v>
      </c>
      <c r="E16" s="31">
        <f t="shared" si="1"/>
        <v>440000</v>
      </c>
      <c r="F16" s="30" t="s">
        <v>90</v>
      </c>
    </row>
    <row r="17" spans="1:6">
      <c r="A17" s="30">
        <v>16</v>
      </c>
      <c r="B17" s="30" t="s">
        <v>84</v>
      </c>
      <c r="C17" s="30">
        <v>4</v>
      </c>
      <c r="D17" s="31">
        <v>750000</v>
      </c>
      <c r="E17" s="31">
        <f t="shared" si="1"/>
        <v>3000000</v>
      </c>
      <c r="F17" s="30" t="s">
        <v>90</v>
      </c>
    </row>
    <row r="18" spans="1:6">
      <c r="A18" s="30">
        <v>17</v>
      </c>
      <c r="B18" s="30" t="s">
        <v>91</v>
      </c>
      <c r="C18" s="30">
        <v>8</v>
      </c>
      <c r="D18" s="31">
        <v>200000</v>
      </c>
      <c r="E18" s="31">
        <f t="shared" si="1"/>
        <v>1600000</v>
      </c>
      <c r="F18" s="30" t="s">
        <v>92</v>
      </c>
    </row>
    <row r="19" spans="1:6">
      <c r="A19" s="30">
        <v>18</v>
      </c>
      <c r="B19" s="30" t="s">
        <v>77</v>
      </c>
      <c r="C19" s="30">
        <v>2</v>
      </c>
      <c r="D19" s="31">
        <v>220000</v>
      </c>
      <c r="E19" s="31">
        <f t="shared" ref="E19" si="2">D19*C19</f>
        <v>440000</v>
      </c>
      <c r="F19" s="30" t="s">
        <v>93</v>
      </c>
    </row>
    <row r="20" spans="1:6">
      <c r="A20" s="30"/>
      <c r="B20" s="30"/>
      <c r="C20" s="30"/>
      <c r="D20" s="31"/>
      <c r="E20" s="31"/>
      <c r="F20" s="30"/>
    </row>
    <row r="21" spans="1:6">
      <c r="A21" s="30"/>
      <c r="B21" s="30"/>
      <c r="C21" s="30"/>
      <c r="D21" s="31"/>
      <c r="E21" s="31"/>
      <c r="F21" s="30"/>
    </row>
    <row r="22" spans="1:6">
      <c r="A22" s="30"/>
      <c r="B22" s="30"/>
      <c r="C22" s="30"/>
      <c r="D22" s="31"/>
      <c r="E22" s="31"/>
      <c r="F22" s="30"/>
    </row>
    <row r="23" spans="1:6">
      <c r="A23" s="72" t="s">
        <v>94</v>
      </c>
      <c r="B23" s="72"/>
      <c r="C23" s="72"/>
      <c r="D23" s="32">
        <f>SUM(D2:D22)</f>
        <v>7240000</v>
      </c>
      <c r="E23" s="73">
        <f>SUM(E2:E22)</f>
        <v>20720000</v>
      </c>
      <c r="F23" s="74"/>
    </row>
  </sheetData>
  <mergeCells count="2">
    <mergeCell ref="A23:C23"/>
    <mergeCell ref="E23:F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selection activeCell="C4" sqref="C4"/>
    </sheetView>
  </sheetViews>
  <sheetFormatPr defaultColWidth="8.85546875" defaultRowHeight="15"/>
  <cols>
    <col min="2" max="2" width="43.85546875" bestFit="1" customWidth="1"/>
    <col min="4" max="4" width="12.7109375" bestFit="1" customWidth="1"/>
    <col min="5" max="5" width="12.140625" bestFit="1" customWidth="1"/>
    <col min="6" max="6" width="39.5703125" customWidth="1"/>
  </cols>
  <sheetData>
    <row r="1" spans="1:6">
      <c r="A1" t="s">
        <v>95</v>
      </c>
      <c r="B1" t="s">
        <v>70</v>
      </c>
      <c r="C1" t="s">
        <v>71</v>
      </c>
      <c r="D1" t="s">
        <v>96</v>
      </c>
      <c r="E1" t="s">
        <v>97</v>
      </c>
      <c r="F1" t="s">
        <v>74</v>
      </c>
    </row>
    <row r="2" spans="1:6">
      <c r="A2">
        <v>1</v>
      </c>
      <c r="B2" t="s">
        <v>98</v>
      </c>
      <c r="C2">
        <v>4</v>
      </c>
      <c r="D2" s="27">
        <v>380000</v>
      </c>
      <c r="E2" s="27">
        <f>D2*C2</f>
        <v>1520000</v>
      </c>
      <c r="F2" t="s">
        <v>99</v>
      </c>
    </row>
    <row r="3" spans="1:6">
      <c r="A3">
        <v>2</v>
      </c>
      <c r="B3" t="s">
        <v>100</v>
      </c>
      <c r="C3">
        <v>1</v>
      </c>
      <c r="D3" s="27">
        <v>1500000</v>
      </c>
      <c r="E3" s="27">
        <f>D3*C3</f>
        <v>1500000</v>
      </c>
      <c r="F3" t="s">
        <v>101</v>
      </c>
    </row>
    <row r="8" spans="1:6">
      <c r="E8" s="27">
        <f>SUM(E2:E7)</f>
        <v>3020000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>
      <selection activeCell="E9" sqref="E9"/>
    </sheetView>
  </sheetViews>
  <sheetFormatPr defaultColWidth="8.85546875" defaultRowHeight="15"/>
  <cols>
    <col min="2" max="2" width="43.85546875" bestFit="1" customWidth="1"/>
    <col min="4" max="4" width="12.7109375" bestFit="1" customWidth="1"/>
    <col min="5" max="5" width="12.140625" bestFit="1" customWidth="1"/>
    <col min="6" max="6" width="32.85546875" bestFit="1" customWidth="1"/>
  </cols>
  <sheetData>
    <row r="1" spans="1:6">
      <c r="A1" t="s">
        <v>95</v>
      </c>
      <c r="B1" t="s">
        <v>70</v>
      </c>
      <c r="C1" t="s">
        <v>71</v>
      </c>
      <c r="D1" t="s">
        <v>96</v>
      </c>
      <c r="E1" t="s">
        <v>97</v>
      </c>
      <c r="F1" t="s">
        <v>74</v>
      </c>
    </row>
    <row r="2" spans="1:6">
      <c r="A2">
        <v>1</v>
      </c>
      <c r="B2" t="s">
        <v>98</v>
      </c>
      <c r="C2">
        <v>2</v>
      </c>
      <c r="D2" s="27">
        <v>380000</v>
      </c>
      <c r="E2" s="27">
        <f>D2*C2</f>
        <v>760000</v>
      </c>
      <c r="F2" t="s">
        <v>102</v>
      </c>
    </row>
    <row r="3" spans="1:6">
      <c r="A3">
        <v>2</v>
      </c>
      <c r="B3" t="s">
        <v>100</v>
      </c>
      <c r="C3">
        <v>2</v>
      </c>
      <c r="D3" s="27">
        <v>1500000</v>
      </c>
      <c r="E3" s="27">
        <f>D3*C3</f>
        <v>3000000</v>
      </c>
      <c r="F3" t="s">
        <v>103</v>
      </c>
    </row>
    <row r="4" spans="1:6">
      <c r="A4">
        <v>3</v>
      </c>
      <c r="B4" t="s">
        <v>104</v>
      </c>
      <c r="C4">
        <v>1</v>
      </c>
      <c r="D4" s="27">
        <v>2000000</v>
      </c>
      <c r="E4" s="27">
        <f>D4*C4</f>
        <v>2000000</v>
      </c>
      <c r="F4" t="s">
        <v>105</v>
      </c>
    </row>
    <row r="9" spans="1:6">
      <c r="E9" s="27">
        <f>SUM(E2:E8)</f>
        <v>5760000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>
      <selection activeCell="E7" sqref="E7"/>
    </sheetView>
  </sheetViews>
  <sheetFormatPr defaultColWidth="8.85546875" defaultRowHeight="15"/>
  <cols>
    <col min="2" max="2" width="43.85546875" bestFit="1" customWidth="1"/>
    <col min="4" max="4" width="12.7109375" bestFit="1" customWidth="1"/>
    <col min="5" max="5" width="12.140625" bestFit="1" customWidth="1"/>
    <col min="6" max="6" width="22.140625" customWidth="1"/>
  </cols>
  <sheetData>
    <row r="1" spans="1:6">
      <c r="A1" t="s">
        <v>95</v>
      </c>
      <c r="B1" t="s">
        <v>70</v>
      </c>
      <c r="C1" t="s">
        <v>71</v>
      </c>
      <c r="D1" t="s">
        <v>96</v>
      </c>
      <c r="E1" t="s">
        <v>97</v>
      </c>
      <c r="F1" t="s">
        <v>74</v>
      </c>
    </row>
    <row r="2" spans="1:6">
      <c r="A2">
        <v>1</v>
      </c>
      <c r="B2" t="s">
        <v>100</v>
      </c>
      <c r="C2">
        <v>1</v>
      </c>
      <c r="D2" s="27">
        <v>1500000</v>
      </c>
      <c r="E2" s="27">
        <f>D2*C2</f>
        <v>1500000</v>
      </c>
      <c r="F2" t="s">
        <v>106</v>
      </c>
    </row>
    <row r="3" spans="1:6">
      <c r="A3">
        <v>2</v>
      </c>
      <c r="B3" t="s">
        <v>107</v>
      </c>
      <c r="C3">
        <v>2</v>
      </c>
      <c r="D3">
        <v>450000</v>
      </c>
      <c r="E3" s="27">
        <f>D3*C3</f>
        <v>900000</v>
      </c>
      <c r="F3" t="s">
        <v>108</v>
      </c>
    </row>
    <row r="4" spans="1:6">
      <c r="A4">
        <v>3</v>
      </c>
      <c r="B4" t="s">
        <v>109</v>
      </c>
      <c r="C4">
        <v>1</v>
      </c>
      <c r="D4">
        <v>950000</v>
      </c>
      <c r="E4" s="27">
        <f>D4*C4</f>
        <v>950000</v>
      </c>
      <c r="F4" t="s">
        <v>110</v>
      </c>
    </row>
    <row r="7" spans="1:6">
      <c r="E7" s="27">
        <f>SUM(E2:E6)</f>
        <v>3350000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9"/>
  <sheetViews>
    <sheetView topLeftCell="A4" workbookViewId="0">
      <selection activeCell="E12" sqref="E12"/>
    </sheetView>
  </sheetViews>
  <sheetFormatPr defaultColWidth="8.85546875" defaultRowHeight="15"/>
  <cols>
    <col min="2" max="2" width="31.28515625" bestFit="1" customWidth="1"/>
    <col min="3" max="3" width="4.7109375" bestFit="1" customWidth="1"/>
    <col min="4" max="5" width="15.7109375" bestFit="1" customWidth="1"/>
    <col min="6" max="6" width="25.28515625" bestFit="1" customWidth="1"/>
  </cols>
  <sheetData>
    <row r="1" spans="1:6">
      <c r="A1" s="30" t="s">
        <v>95</v>
      </c>
      <c r="B1" s="30" t="s">
        <v>70</v>
      </c>
      <c r="C1" s="30" t="s">
        <v>71</v>
      </c>
      <c r="D1" s="30" t="s">
        <v>111</v>
      </c>
      <c r="E1" s="30" t="s">
        <v>73</v>
      </c>
      <c r="F1" s="30" t="s">
        <v>74</v>
      </c>
    </row>
    <row r="2" spans="1:6" ht="45">
      <c r="A2" s="42">
        <v>1</v>
      </c>
      <c r="B2" s="42" t="s">
        <v>112</v>
      </c>
      <c r="C2" s="42">
        <v>4</v>
      </c>
      <c r="D2" s="43">
        <v>800000</v>
      </c>
      <c r="E2" s="43">
        <f>D2*C2</f>
        <v>3200000</v>
      </c>
      <c r="F2" s="44" t="s">
        <v>113</v>
      </c>
    </row>
    <row r="3" spans="1:6" ht="75">
      <c r="A3" s="42">
        <v>2</v>
      </c>
      <c r="B3" s="42" t="s">
        <v>114</v>
      </c>
      <c r="C3" s="42">
        <v>1</v>
      </c>
      <c r="D3" s="45">
        <v>4000000</v>
      </c>
      <c r="E3" s="43">
        <f>D3*C3</f>
        <v>4000000</v>
      </c>
      <c r="F3" s="44" t="s">
        <v>115</v>
      </c>
    </row>
    <row r="4" spans="1:6" ht="47.25">
      <c r="A4" s="42">
        <v>3</v>
      </c>
      <c r="B4" s="38" t="s">
        <v>116</v>
      </c>
      <c r="C4" s="39">
        <v>1</v>
      </c>
      <c r="D4" s="40">
        <v>8000000</v>
      </c>
      <c r="E4" s="40">
        <f t="shared" ref="E4:E6" si="0">D4*C4</f>
        <v>8000000</v>
      </c>
      <c r="F4" s="46" t="s">
        <v>117</v>
      </c>
    </row>
    <row r="5" spans="1:6" ht="31.5">
      <c r="A5" s="42">
        <v>4</v>
      </c>
      <c r="B5" s="38" t="s">
        <v>118</v>
      </c>
      <c r="C5" s="39">
        <v>1</v>
      </c>
      <c r="D5" s="40">
        <v>2000000</v>
      </c>
      <c r="E5" s="40">
        <f t="shared" si="0"/>
        <v>2000000</v>
      </c>
      <c r="F5" s="41" t="s">
        <v>119</v>
      </c>
    </row>
    <row r="6" spans="1:6" ht="63">
      <c r="A6" s="42">
        <v>5</v>
      </c>
      <c r="B6" s="38" t="s">
        <v>120</v>
      </c>
      <c r="C6" s="39">
        <v>1</v>
      </c>
      <c r="D6" s="40">
        <v>1000000</v>
      </c>
      <c r="E6" s="40">
        <f t="shared" si="0"/>
        <v>1000000</v>
      </c>
      <c r="F6" s="47" t="s">
        <v>121</v>
      </c>
    </row>
    <row r="7" spans="1:6">
      <c r="A7" s="42"/>
      <c r="B7" s="42"/>
      <c r="C7" s="42"/>
      <c r="D7" s="45"/>
      <c r="E7" s="45"/>
      <c r="F7" s="42"/>
    </row>
    <row r="8" spans="1:6">
      <c r="A8" s="42"/>
      <c r="B8" s="42"/>
      <c r="C8" s="42"/>
      <c r="D8" s="45"/>
      <c r="E8" s="45"/>
      <c r="F8" s="42"/>
    </row>
    <row r="9" spans="1:6">
      <c r="A9" s="42"/>
      <c r="B9" s="42"/>
      <c r="C9" s="42"/>
      <c r="D9" s="45"/>
      <c r="E9" s="45"/>
      <c r="F9" s="42"/>
    </row>
    <row r="10" spans="1:6">
      <c r="A10" s="42"/>
      <c r="B10" s="42"/>
      <c r="C10" s="42"/>
      <c r="D10" s="45"/>
      <c r="E10" s="45"/>
      <c r="F10" s="42"/>
    </row>
    <row r="11" spans="1:6">
      <c r="A11" s="42"/>
      <c r="B11" s="42"/>
      <c r="C11" s="42"/>
      <c r="D11" s="45"/>
      <c r="E11" s="45"/>
      <c r="F11" s="42"/>
    </row>
    <row r="12" spans="1:6">
      <c r="A12" s="36"/>
      <c r="B12" s="36"/>
      <c r="C12" s="36"/>
      <c r="D12" s="37"/>
      <c r="E12" s="37">
        <f>SUM(E2:E11)</f>
        <v>18200000</v>
      </c>
      <c r="F12" s="36"/>
    </row>
    <row r="13" spans="1:6">
      <c r="A13" s="36"/>
      <c r="B13" s="36"/>
      <c r="C13" s="36"/>
      <c r="D13" s="37"/>
      <c r="E13" s="37"/>
      <c r="F13" s="36"/>
    </row>
    <row r="14" spans="1:6">
      <c r="A14" s="36"/>
      <c r="B14" s="36"/>
      <c r="C14" s="36"/>
      <c r="D14" s="37"/>
      <c r="E14" s="37"/>
      <c r="F14" s="36"/>
    </row>
    <row r="15" spans="1:6">
      <c r="A15" s="36"/>
      <c r="B15" s="36"/>
      <c r="C15" s="36"/>
      <c r="D15" s="37"/>
      <c r="E15" s="37"/>
      <c r="F15" s="36"/>
    </row>
    <row r="16" spans="1:6">
      <c r="A16" s="36"/>
      <c r="B16" s="36"/>
      <c r="C16" s="36"/>
      <c r="D16" s="37"/>
      <c r="E16" s="37"/>
      <c r="F16" s="36"/>
    </row>
    <row r="17" spans="1:6">
      <c r="A17" s="36"/>
      <c r="B17" s="36"/>
      <c r="C17" s="36"/>
      <c r="D17" s="36"/>
      <c r="E17" s="36"/>
      <c r="F17" s="36"/>
    </row>
    <row r="18" spans="1:6">
      <c r="A18" s="36"/>
      <c r="B18" s="36"/>
      <c r="C18" s="36"/>
      <c r="D18" s="36"/>
      <c r="E18" s="36"/>
      <c r="F18" s="36"/>
    </row>
    <row r="19" spans="1:6">
      <c r="A19" s="36"/>
      <c r="B19" s="36"/>
      <c r="C19" s="36"/>
      <c r="D19" s="36"/>
      <c r="E19" s="36"/>
      <c r="F19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KEUANGAN-UNRIYO</dc:creator>
  <cp:keywords/>
  <dc:description/>
  <cp:lastModifiedBy/>
  <cp:revision/>
  <dcterms:created xsi:type="dcterms:W3CDTF">2020-10-28T02:09:00Z</dcterms:created>
  <dcterms:modified xsi:type="dcterms:W3CDTF">2025-09-08T02:27:39Z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1033-11.2.0.9739</vt:lpwstr>
  </property>
</Properties>
</file>